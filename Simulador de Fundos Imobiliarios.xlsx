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Apoio" sheetId="2" state="visible" r:id="rId2"/>
  </sheets>
  <definedNames>
    <definedName name="salario">'Simulador'!$B$5</definedName>
    <definedName name="aporte">'Simulador'!$B$6</definedName>
    <definedName name="prazo_anos">'Simulador'!$B$7</definedName>
    <definedName name="taxa_mensal">'Simulador'!$B$8</definedName>
    <definedName name="_xlnm._FilterDatabase" localSheetId="1" hidden="1">'Apoio'!$A$1:$D$19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FFFFFF"/>
      <sz val="10"/>
    </font>
    <font>
      <b val="1"/>
      <color rgb="00FFFFFF"/>
      <sz val="11"/>
    </font>
    <font>
      <b val="1"/>
      <color rgb="0017211D"/>
    </font>
    <font>
      <b val="1"/>
      <color rgb="00173B32"/>
    </font>
    <font>
      <i val="1"/>
      <color rgb="006B7280"/>
      <sz val="9"/>
    </font>
    <font>
      <b val="1"/>
      <color rgb="00173B32"/>
      <sz val="11"/>
    </font>
    <font>
      <b val="1"/>
      <color rgb="00173B32"/>
      <sz val="12"/>
    </font>
    <font>
      <b val="1"/>
      <color rgb="00FFFFFF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173B32"/>
      </patternFill>
    </fill>
    <fill>
      <patternFill patternType="solid">
        <fgColor rgb="002E7D5B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3F6F4"/>
      </patternFill>
    </fill>
  </fills>
  <borders count="3">
    <border>
      <left/>
      <right/>
      <top/>
      <bottom/>
      <diagonal/>
    </border>
    <border>
      <bottom style="thin">
        <color rgb="00D5DDD8"/>
      </bottom>
    </border>
    <border>
      <top style="thin">
        <color rgb="00173B32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64" fontId="10" fillId="4" borderId="1" applyAlignment="1" pivotButton="0" quotePrefix="0" xfId="0">
      <alignment horizontal="right"/>
    </xf>
    <xf numFmtId="0" fontId="10" fillId="0" borderId="1" pivotButton="0" quotePrefix="0" xfId="0"/>
    <xf numFmtId="1" fontId="10" fillId="4" borderId="1" applyAlignment="1" pivotButton="0" quotePrefix="0" xfId="0">
      <alignment horizontal="right"/>
    </xf>
    <xf numFmtId="10" fontId="10" fillId="4" borderId="1" applyAlignment="1" pivotButton="0" quotePrefix="0" xfId="0">
      <alignment horizontal="right"/>
    </xf>
    <xf numFmtId="0" fontId="10" fillId="4" borderId="1" applyAlignment="1" pivotButton="0" quotePrefix="0" xfId="0">
      <alignment horizontal="right"/>
    </xf>
    <xf numFmtId="164" fontId="10" fillId="5" borderId="1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164" fontId="0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9" fontId="0" fillId="5" borderId="1" pivotButton="0" quotePrefix="0" xfId="0"/>
    <xf numFmtId="164" fontId="0" fillId="5" borderId="1" pivotButton="0" quotePrefix="0" xfId="0"/>
    <xf numFmtId="0" fontId="10" fillId="3" borderId="2" pivotButton="0" quotePrefix="0" xfId="0"/>
    <xf numFmtId="9" fontId="10" fillId="3" borderId="2" pivotButton="0" quotePrefix="0" xfId="0"/>
    <xf numFmtId="164" fontId="10" fillId="3" borderId="2" pivotButton="0" quotePrefix="0" xfId="0"/>
    <xf numFmtId="0" fontId="10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10" fillId="2" borderId="0" pivotButton="0" quotePrefix="0" xfId="0"/>
    <xf numFmtId="0" fontId="0" fillId="6" borderId="1" pivotButton="0" quotePrefix="0" xfId="0"/>
    <xf numFmtId="9" fontId="0" fillId="6" borderId="1" pivotButton="0" quotePrefix="0" xfId="0"/>
    <xf numFmtId="9" fontId="0" fillId="0" borderId="1" pivotButton="0" quotePrefix="0" xfId="0"/>
    <xf numFmtId="0" fontId="1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Divisão do aporte por tipo de fundo</a:t>
            </a:r>
          </a:p>
        </rich>
      </tx>
    </title>
    <plotArea>
      <pieChart>
        <varyColors val="1"/>
        <ser>
          <idx val="0"/>
          <order val="0"/>
          <tx>
            <strRef>
              <f>'Simulador'!B26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'Simulador'!$A$27:$A$32</f>
            </numRef>
          </cat>
          <val>
            <numRef>
              <f>'Simulador'!$B$27:$B$32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Patrimônio por prazo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'Simulador'!B17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'Simulador'!$A$18:$A$22</f>
            </numRef>
          </cat>
          <val>
            <numRef>
              <f>'Simulador'!$B$18:$B$22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Patrimônio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9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8" customWidth="1" min="4" max="4"/>
    <col width="4" customWidth="1" min="5" max="5"/>
    <col width="24" customWidth="1" min="6" max="6"/>
    <col width="18" customWidth="1" min="7" max="7"/>
    <col width="18" customWidth="1" min="8" max="8"/>
  </cols>
  <sheetData>
    <row r="1" ht="34" customHeight="1">
      <c r="A1" s="1" t="inlineStr">
        <is>
          <t>SIMULADOR DE INVESTIMENTOS EM FUNDOS IMOBILIÁRIOS</t>
        </is>
      </c>
    </row>
    <row r="2" ht="23" customHeight="1">
      <c r="A2" s="2" t="inlineStr">
        <is>
          <t>Simulação educacional de aportes mensais, patrimônio futuro e dividendos estimados</t>
        </is>
      </c>
    </row>
    <row r="4" ht="23" customHeight="1">
      <c r="A4" s="3" t="inlineStr">
        <is>
          <t>CONFIGURAÇÕES E RESULTADOS</t>
        </is>
      </c>
    </row>
    <row r="5" ht="24" customHeight="1">
      <c r="A5" s="4" t="inlineStr">
        <is>
          <t>Salário mensal</t>
        </is>
      </c>
      <c r="B5" s="5" t="n">
        <v>3000</v>
      </c>
      <c r="C5" s="6" t="inlineStr">
        <is>
          <t>Entrada — exemplo</t>
        </is>
      </c>
    </row>
    <row r="6" ht="24" customHeight="1">
      <c r="A6" s="4" t="inlineStr">
        <is>
          <t>Aporte mensal</t>
        </is>
      </c>
      <c r="B6" s="5" t="n">
        <v>500</v>
      </c>
      <c r="C6" s="6" t="inlineStr">
        <is>
          <t>Entrada — exemplo</t>
        </is>
      </c>
    </row>
    <row r="7" ht="24" customHeight="1">
      <c r="A7" s="4" t="inlineStr">
        <is>
          <t>Prazo do investimento (anos)</t>
        </is>
      </c>
      <c r="B7" s="7" t="n">
        <v>10</v>
      </c>
      <c r="C7" s="6" t="inlineStr">
        <is>
          <t>Entrada — exemplo</t>
        </is>
      </c>
    </row>
    <row r="8" ht="24" customHeight="1">
      <c r="A8" s="4" t="inlineStr">
        <is>
          <t>Rendimento mensal estimado</t>
        </is>
      </c>
      <c r="B8" s="8" t="n">
        <v>0.008</v>
      </c>
      <c r="C8" s="6" t="inlineStr">
        <is>
          <t>Entrada — exemplo</t>
        </is>
      </c>
    </row>
    <row r="9" ht="24" customHeight="1">
      <c r="A9" s="4" t="inlineStr">
        <is>
          <t>Perfil do investidor</t>
        </is>
      </c>
      <c r="B9" s="9" t="inlineStr">
        <is>
          <t>Moderado</t>
        </is>
      </c>
      <c r="C9" s="6" t="inlineStr">
        <is>
          <t>Lista suspensa</t>
        </is>
      </c>
    </row>
    <row r="11" ht="23" customHeight="1">
      <c r="A11" s="3" t="inlineStr">
        <is>
          <t>INDICADORES PRINCIPAIS</t>
        </is>
      </c>
    </row>
    <row r="12" ht="24" customHeight="1">
      <c r="A12" s="6" t="inlineStr">
        <is>
          <t>Sugestão de aporte (30% do salário)</t>
        </is>
      </c>
      <c r="B12" s="10">
        <f>B5*30%</f>
        <v/>
      </c>
      <c r="C12" s="6" t="inlineStr">
        <is>
          <t>Calculado automaticamente</t>
        </is>
      </c>
    </row>
    <row r="13" ht="27" customHeight="1">
      <c r="A13" s="6" t="inlineStr">
        <is>
          <t>Patrimônio acumulado estimado</t>
        </is>
      </c>
      <c r="B13" s="10">
        <f>FV(B8,B7*12,-B6,0,0)</f>
        <v/>
      </c>
      <c r="C13" s="6" t="inlineStr">
        <is>
          <t>Aportes no fim de cada mês</t>
        </is>
      </c>
    </row>
    <row r="14" ht="27" customHeight="1">
      <c r="A14" s="6" t="inlineStr">
        <is>
          <t>Dividendos mensais estimados</t>
        </is>
      </c>
      <c r="B14" s="10">
        <f>B13*B8</f>
        <v/>
      </c>
      <c r="C14" s="6" t="inlineStr">
        <is>
          <t>Usa a taxa mensal informada como hipótese</t>
        </is>
      </c>
    </row>
    <row r="16" ht="23" customHeight="1">
      <c r="A16" s="3" t="inlineStr">
        <is>
          <t>PROJEÇÃO POR PRAZO</t>
        </is>
      </c>
    </row>
    <row r="17" ht="30" customHeight="1">
      <c r="A17" s="11" t="inlineStr">
        <is>
          <t>Prazo (anos)</t>
        </is>
      </c>
      <c r="B17" s="11" t="inlineStr">
        <is>
          <t>Patrimônio estimado</t>
        </is>
      </c>
      <c r="C17" s="11" t="inlineStr">
        <is>
          <t>Dividendos/mês estimados</t>
        </is>
      </c>
    </row>
    <row r="18" ht="23" customHeight="1">
      <c r="A18" s="12" t="n">
        <v>2</v>
      </c>
      <c r="B18" s="13">
        <f>FV($B$8,A18*12,-$B$6,0,0)</f>
        <v/>
      </c>
      <c r="C18" s="13">
        <f>B18*$B$8</f>
        <v/>
      </c>
    </row>
    <row r="19" ht="23" customHeight="1">
      <c r="A19" s="14" t="n">
        <v>5</v>
      </c>
      <c r="B19" s="13">
        <f>FV($B$8,A19*12,-$B$6,0,0)</f>
        <v/>
      </c>
      <c r="C19" s="13">
        <f>B19*$B$8</f>
        <v/>
      </c>
    </row>
    <row r="20" ht="23" customHeight="1">
      <c r="A20" s="12" t="n">
        <v>10</v>
      </c>
      <c r="B20" s="13">
        <f>FV($B$8,A20*12,-$B$6,0,0)</f>
        <v/>
      </c>
      <c r="C20" s="13">
        <f>B20*$B$8</f>
        <v/>
      </c>
    </row>
    <row r="21" ht="23" customHeight="1">
      <c r="A21" s="14" t="n">
        <v>20</v>
      </c>
      <c r="B21" s="13">
        <f>FV($B$8,A21*12,-$B$6,0,0)</f>
        <v/>
      </c>
      <c r="C21" s="13">
        <f>B21*$B$8</f>
        <v/>
      </c>
    </row>
    <row r="22" ht="23" customHeight="1">
      <c r="A22" s="12" t="n">
        <v>30</v>
      </c>
      <c r="B22" s="13">
        <f>FV($B$8,A22*12,-$B$6,0,0)</f>
        <v/>
      </c>
      <c r="C22" s="13">
        <f>B22*$B$8</f>
        <v/>
      </c>
    </row>
    <row r="25" ht="23" customHeight="1">
      <c r="A25" s="3" t="inlineStr">
        <is>
          <t>DISTRIBUIÇÃO DO APORTE POR TIPO DE FUNDO</t>
        </is>
      </c>
    </row>
    <row r="26">
      <c r="A26" s="11" t="inlineStr">
        <is>
          <t>Tipo de fundo</t>
        </is>
      </c>
      <c r="B26" s="11" t="inlineStr">
        <is>
          <t>Percentual</t>
        </is>
      </c>
      <c r="C26" s="11" t="inlineStr">
        <is>
          <t>Aporte mensal</t>
        </is>
      </c>
    </row>
    <row r="27">
      <c r="A27" s="15" t="inlineStr">
        <is>
          <t>Tijolo</t>
        </is>
      </c>
      <c r="B27" s="16">
        <f>IFERROR(VLOOKUP($B$9&amp;"|"&amp;A27,Apoio!$A$2:$D$19,4,FALSE),0)</f>
        <v/>
      </c>
      <c r="C27" s="17">
        <f>$B$6*B27</f>
        <v/>
      </c>
    </row>
    <row r="28">
      <c r="A28" s="15" t="inlineStr">
        <is>
          <t>Papel</t>
        </is>
      </c>
      <c r="B28" s="16">
        <f>IFERROR(VLOOKUP($B$9&amp;"|"&amp;A28,Apoio!$A$2:$D$19,4,FALSE),0)</f>
        <v/>
      </c>
      <c r="C28" s="17">
        <f>$B$6*B28</f>
        <v/>
      </c>
    </row>
    <row r="29">
      <c r="A29" s="15" t="inlineStr">
        <is>
          <t>Híbridos</t>
        </is>
      </c>
      <c r="B29" s="16">
        <f>IFERROR(VLOOKUP($B$9&amp;"|"&amp;A29,Apoio!$A$2:$D$19,4,FALSE),0)</f>
        <v/>
      </c>
      <c r="C29" s="17">
        <f>$B$6*B29</f>
        <v/>
      </c>
    </row>
    <row r="30">
      <c r="A30" s="15" t="inlineStr">
        <is>
          <t>Fundos de fundos (FOFs)</t>
        </is>
      </c>
      <c r="B30" s="16">
        <f>IFERROR(VLOOKUP($B$9&amp;"|"&amp;A30,Apoio!$A$2:$D$19,4,FALSE),0)</f>
        <v/>
      </c>
      <c r="C30" s="17">
        <f>$B$6*B30</f>
        <v/>
      </c>
    </row>
    <row r="31">
      <c r="A31" s="15" t="inlineStr">
        <is>
          <t>Desenvolvimento</t>
        </is>
      </c>
      <c r="B31" s="16">
        <f>IFERROR(VLOOKUP($B$9&amp;"|"&amp;A31,Apoio!$A$2:$D$19,4,FALSE),0)</f>
        <v/>
      </c>
      <c r="C31" s="17">
        <f>$B$6*B31</f>
        <v/>
      </c>
    </row>
    <row r="32">
      <c r="A32" s="15" t="inlineStr">
        <is>
          <t>Outros</t>
        </is>
      </c>
      <c r="B32" s="16">
        <f>IFERROR(VLOOKUP($B$9&amp;"|"&amp;A32,Apoio!$A$2:$D$19,4,FALSE),0)</f>
        <v/>
      </c>
      <c r="C32" s="17">
        <f>$B$6*B32</f>
        <v/>
      </c>
    </row>
    <row r="33">
      <c r="A33" s="18" t="inlineStr">
        <is>
          <t>TOTAL</t>
        </is>
      </c>
      <c r="B33" s="19">
        <f>SUM(B27:B32)</f>
        <v/>
      </c>
      <c r="C33" s="20">
        <f>SUM(C27:C32)</f>
        <v/>
      </c>
    </row>
    <row r="35" ht="30" customHeight="1">
      <c r="A35" s="21" t="inlineStr">
        <is>
          <t>Aviso: simulação hipotética para fins educacionais. Rendimentos e dividendos não são garantidos; isto não é recomendação de investimento.</t>
        </is>
      </c>
    </row>
  </sheetData>
  <mergeCells count="7">
    <mergeCell ref="A1:D1"/>
    <mergeCell ref="A25:C25"/>
    <mergeCell ref="A11:C11"/>
    <mergeCell ref="A35:D35"/>
    <mergeCell ref="A2:D2"/>
    <mergeCell ref="A4:C4"/>
    <mergeCell ref="A16:C16"/>
  </mergeCells>
  <dataValidations count="1">
    <dataValidation sqref="B9" showDropDown="0" showInputMessage="0" showErrorMessage="0" allowBlank="0" errorTitle="Perfil inválido" error="Selecione um perfil disponível na lista." promptTitle="Perfil do investidor" prompt="Escolha Conservador, Moderado ou Arrojado." type="list">
      <formula1>=Apoio!$F$2:$F$4</formula1>
    </dataValidation>
  </dataValidation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18" customWidth="1" min="4" max="4"/>
    <col width="4" customWidth="1" min="5" max="5"/>
    <col width="38" customWidth="1" min="6" max="6"/>
  </cols>
  <sheetData>
    <row r="1" ht="25" customHeight="1">
      <c r="A1" s="22" t="inlineStr">
        <is>
          <t>Chave composta</t>
        </is>
      </c>
      <c r="B1" s="22" t="inlineStr">
        <is>
          <t>Perfil</t>
        </is>
      </c>
      <c r="C1" s="22" t="inlineStr">
        <is>
          <t>Tipo de fundo</t>
        </is>
      </c>
      <c r="D1" s="22" t="inlineStr">
        <is>
          <t>Percentual</t>
        </is>
      </c>
      <c r="F1" s="23" t="inlineStr">
        <is>
          <t>Perfis disponíveis</t>
        </is>
      </c>
    </row>
    <row r="2">
      <c r="A2" s="24">
        <f>B2&amp;"|"&amp;C2</f>
        <v/>
      </c>
      <c r="B2" s="24" t="inlineStr">
        <is>
          <t>Conservador</t>
        </is>
      </c>
      <c r="C2" s="24" t="inlineStr">
        <is>
          <t>Tijolo</t>
        </is>
      </c>
      <c r="D2" s="25" t="n">
        <v>0.15</v>
      </c>
      <c r="F2" s="15" t="inlineStr">
        <is>
          <t>Conservador</t>
        </is>
      </c>
    </row>
    <row r="3">
      <c r="A3" s="15">
        <f>B3&amp;"|"&amp;C3</f>
        <v/>
      </c>
      <c r="B3" s="15" t="inlineStr">
        <is>
          <t>Conservador</t>
        </is>
      </c>
      <c r="C3" s="15" t="inlineStr">
        <is>
          <t>Papel</t>
        </is>
      </c>
      <c r="D3" s="26" t="n">
        <v>0.35</v>
      </c>
      <c r="F3" s="15" t="inlineStr">
        <is>
          <t>Moderado</t>
        </is>
      </c>
    </row>
    <row r="4">
      <c r="A4" s="24">
        <f>B4&amp;"|"&amp;C4</f>
        <v/>
      </c>
      <c r="B4" s="24" t="inlineStr">
        <is>
          <t>Conservador</t>
        </is>
      </c>
      <c r="C4" s="24" t="inlineStr">
        <is>
          <t>Híbridos</t>
        </is>
      </c>
      <c r="D4" s="25" t="n">
        <v>0.15</v>
      </c>
      <c r="F4" s="15" t="inlineStr">
        <is>
          <t>Arrojado</t>
        </is>
      </c>
    </row>
    <row r="5">
      <c r="A5" s="15">
        <f>B5&amp;"|"&amp;C5</f>
        <v/>
      </c>
      <c r="B5" s="15" t="inlineStr">
        <is>
          <t>Conservador</t>
        </is>
      </c>
      <c r="C5" s="15" t="inlineStr">
        <is>
          <t>Fundos de fundos (FOFs)</t>
        </is>
      </c>
      <c r="D5" s="26" t="n">
        <v>0.2</v>
      </c>
    </row>
    <row r="6">
      <c r="A6" s="24">
        <f>B6&amp;"|"&amp;C6</f>
        <v/>
      </c>
      <c r="B6" s="24" t="inlineStr">
        <is>
          <t>Conservador</t>
        </is>
      </c>
      <c r="C6" s="24" t="inlineStr">
        <is>
          <t>Desenvolvimento</t>
        </is>
      </c>
      <c r="D6" s="25" t="n">
        <v>0.05</v>
      </c>
      <c r="F6" s="27" t="inlineStr">
        <is>
          <t>Notas</t>
        </is>
      </c>
    </row>
    <row r="7" ht="48" customHeight="1">
      <c r="A7" s="15">
        <f>B7&amp;"|"&amp;C7</f>
        <v/>
      </c>
      <c r="B7" s="15" t="inlineStr">
        <is>
          <t>Conservador</t>
        </is>
      </c>
      <c r="C7" s="15" t="inlineStr">
        <is>
          <t>Outros</t>
        </is>
      </c>
      <c r="D7" s="26" t="n">
        <v>0.1</v>
      </c>
      <c r="F7" s="28" t="inlineStr">
        <is>
          <t>Percentuais fictícios para demonstrar PROCV e chave composta.</t>
        </is>
      </c>
    </row>
    <row r="8">
      <c r="A8" s="24">
        <f>B8&amp;"|"&amp;C8</f>
        <v/>
      </c>
      <c r="B8" s="24" t="inlineStr">
        <is>
          <t>Moderado</t>
        </is>
      </c>
      <c r="C8" s="24" t="inlineStr">
        <is>
          <t>Tijolo</t>
        </is>
      </c>
      <c r="D8" s="25" t="n">
        <v>0.3</v>
      </c>
    </row>
    <row r="9">
      <c r="A9" s="15">
        <f>B9&amp;"|"&amp;C9</f>
        <v/>
      </c>
      <c r="B9" s="15" t="inlineStr">
        <is>
          <t>Moderado</t>
        </is>
      </c>
      <c r="C9" s="15" t="inlineStr">
        <is>
          <t>Papel</t>
        </is>
      </c>
      <c r="D9" s="26" t="n">
        <v>0.25</v>
      </c>
    </row>
    <row r="10">
      <c r="A10" s="24">
        <f>B10&amp;"|"&amp;C10</f>
        <v/>
      </c>
      <c r="B10" s="24" t="inlineStr">
        <is>
          <t>Moderado</t>
        </is>
      </c>
      <c r="C10" s="24" t="inlineStr">
        <is>
          <t>Híbridos</t>
        </is>
      </c>
      <c r="D10" s="25" t="n">
        <v>0.15</v>
      </c>
    </row>
    <row r="11">
      <c r="A11" s="15">
        <f>B11&amp;"|"&amp;C11</f>
        <v/>
      </c>
      <c r="B11" s="15" t="inlineStr">
        <is>
          <t>Moderado</t>
        </is>
      </c>
      <c r="C11" s="15" t="inlineStr">
        <is>
          <t>Fundos de fundos (FOFs)</t>
        </is>
      </c>
      <c r="D11" s="26" t="n">
        <v>0.1</v>
      </c>
    </row>
    <row r="12">
      <c r="A12" s="24">
        <f>B12&amp;"|"&amp;C12</f>
        <v/>
      </c>
      <c r="B12" s="24" t="inlineStr">
        <is>
          <t>Moderado</t>
        </is>
      </c>
      <c r="C12" s="24" t="inlineStr">
        <is>
          <t>Desenvolvimento</t>
        </is>
      </c>
      <c r="D12" s="25" t="n">
        <v>0.1</v>
      </c>
    </row>
    <row r="13">
      <c r="A13" s="15">
        <f>B13&amp;"|"&amp;C13</f>
        <v/>
      </c>
      <c r="B13" s="15" t="inlineStr">
        <is>
          <t>Moderado</t>
        </is>
      </c>
      <c r="C13" s="15" t="inlineStr">
        <is>
          <t>Outros</t>
        </is>
      </c>
      <c r="D13" s="26" t="n">
        <v>0.1</v>
      </c>
    </row>
    <row r="14">
      <c r="A14" s="24">
        <f>B14&amp;"|"&amp;C14</f>
        <v/>
      </c>
      <c r="B14" s="24" t="inlineStr">
        <is>
          <t>Arrojado</t>
        </is>
      </c>
      <c r="C14" s="24" t="inlineStr">
        <is>
          <t>Tijolo</t>
        </is>
      </c>
      <c r="D14" s="25" t="n">
        <v>0.35</v>
      </c>
    </row>
    <row r="15">
      <c r="A15" s="15">
        <f>B15&amp;"|"&amp;C15</f>
        <v/>
      </c>
      <c r="B15" s="15" t="inlineStr">
        <is>
          <t>Arrojado</t>
        </is>
      </c>
      <c r="C15" s="15" t="inlineStr">
        <is>
          <t>Papel</t>
        </is>
      </c>
      <c r="D15" s="26" t="n">
        <v>0.15</v>
      </c>
    </row>
    <row r="16">
      <c r="A16" s="24">
        <f>B16&amp;"|"&amp;C16</f>
        <v/>
      </c>
      <c r="B16" s="24" t="inlineStr">
        <is>
          <t>Arrojado</t>
        </is>
      </c>
      <c r="C16" s="24" t="inlineStr">
        <is>
          <t>Híbridos</t>
        </is>
      </c>
      <c r="D16" s="25" t="n">
        <v>0.1</v>
      </c>
    </row>
    <row r="17">
      <c r="A17" s="15">
        <f>B17&amp;"|"&amp;C17</f>
        <v/>
      </c>
      <c r="B17" s="15" t="inlineStr">
        <is>
          <t>Arrojado</t>
        </is>
      </c>
      <c r="C17" s="15" t="inlineStr">
        <is>
          <t>Fundos de fundos (FOFs)</t>
        </is>
      </c>
      <c r="D17" s="26" t="n">
        <v>0.05</v>
      </c>
    </row>
    <row r="18">
      <c r="A18" s="24">
        <f>B18&amp;"|"&amp;C18</f>
        <v/>
      </c>
      <c r="B18" s="24" t="inlineStr">
        <is>
          <t>Arrojado</t>
        </is>
      </c>
      <c r="C18" s="24" t="inlineStr">
        <is>
          <t>Desenvolvimento</t>
        </is>
      </c>
      <c r="D18" s="25" t="n">
        <v>0.25</v>
      </c>
    </row>
    <row r="19">
      <c r="A19" s="15">
        <f>B19&amp;"|"&amp;C19</f>
        <v/>
      </c>
      <c r="B19" s="15" t="inlineStr">
        <is>
          <t>Arrojado</t>
        </is>
      </c>
      <c r="C19" s="15" t="inlineStr">
        <is>
          <t>Outros</t>
        </is>
      </c>
      <c r="D19" s="26" t="n">
        <v>0.1</v>
      </c>
    </row>
    <row r="21">
      <c r="A21" s="27" t="inlineStr">
        <is>
          <t>Como funciona</t>
        </is>
      </c>
    </row>
    <row r="22" ht="25" customHeight="1">
      <c r="A22" s="29" t="inlineStr">
        <is>
          <t>1. A chave composta combina Perfil e Tipo de fundo para localizar uma combinação única.</t>
        </is>
      </c>
    </row>
    <row r="23" ht="25" customHeight="1">
      <c r="A23" s="29" t="inlineStr">
        <is>
          <t>2. O PROCV procura a chave na coluna A e retorna o percentual da coluna D.</t>
        </is>
      </c>
    </row>
    <row r="24" ht="25" customHeight="1">
      <c r="A24" s="29" t="inlineStr">
        <is>
          <t>3. Cada perfil soma 100%; os percentuais são apenas exemplos didáticos.</t>
        </is>
      </c>
    </row>
    <row r="25" ht="25" customHeight="1">
      <c r="A25" s="29" t="inlineStr">
        <is>
          <t>4. A função VF calcula o valor futuro de aportes mensais constantes, supondo taxa mensal constante.</t>
        </is>
      </c>
    </row>
  </sheetData>
  <autoFilter ref="A1:D19"/>
  <mergeCells count="5">
    <mergeCell ref="A23:D23"/>
    <mergeCell ref="A22:D22"/>
    <mergeCell ref="A21:D21"/>
    <mergeCell ref="A25:D25"/>
    <mergeCell ref="A24:D24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2026-10-15T23:02:08Z</dcterms:created>
  <dcterms:modified xmlns:dcterms="http://purl.org/dc/terms/" xmlns:xsi="http://www.w3.org/2001/XMLSchema-instance" xsi:type="dcterms:W3CDTF">2026-10-15T23:02:17Z</dcterms:modified>
</cp:coreProperties>
</file>